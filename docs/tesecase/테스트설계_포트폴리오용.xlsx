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현재_통합_문서" defaultThemeVersion="202300"/>
  <mc:AlternateContent xmlns:mc="http://schemas.openxmlformats.org/markup-compatibility/2006">
    <mc:Choice Requires="x15">
      <x15ac:absPath xmlns:x15ac="http://schemas.microsoft.com/office/spreadsheetml/2010/11/ac" url="C:\Users\jmlim\OneDrive\Desktop\QATEST\docs\tesecase\"/>
    </mc:Choice>
  </mc:AlternateContent>
  <xr:revisionPtr revIDLastSave="0" documentId="13_ncr:1_{3BC7E5A5-BF5E-4BD1-9F04-A980518C71B1}" xr6:coauthVersionLast="47" xr6:coauthVersionMax="47" xr10:uidLastSave="{00000000-0000-0000-0000-000000000000}"/>
  <bookViews>
    <workbookView xWindow="-108" yWindow="-108" windowWidth="30936" windowHeight="18696" tabRatio="659" activeTab="3" xr2:uid="{49015EC0-97E5-4CAE-B2C7-8C0F1EDECD8D}"/>
  </bookViews>
  <sheets>
    <sheet name="수행율" sheetId="18" r:id="rId1"/>
    <sheet name="마켓컬리_테스트시나리오" sheetId="7" r:id="rId2"/>
    <sheet name="마켓컬리_TC" sheetId="4" r:id="rId3"/>
    <sheet name="API_테스트시나리오" sheetId="13" r:id="rId4"/>
    <sheet name="API_TC" sheetId="12" r:id="rId5"/>
    <sheet name="데이터" sheetId="17" state="hidden" r:id="rId6"/>
  </sheets>
  <definedNames>
    <definedName name="PFNAB_List">데이터!$A$1:$A$4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" i="4" l="1"/>
  <c r="C3" i="18"/>
  <c r="H4" i="18"/>
  <c r="G4" i="18"/>
  <c r="F4" i="18"/>
  <c r="E4" i="18"/>
  <c r="D4" i="18"/>
  <c r="C4" i="18"/>
  <c r="D3" i="18"/>
  <c r="H3" i="18"/>
  <c r="G3" i="18"/>
  <c r="F3" i="18"/>
  <c r="E3" i="18"/>
  <c r="I4" i="18" l="1"/>
  <c r="I3" i="18"/>
  <c r="E5" i="18"/>
  <c r="F5" i="18"/>
  <c r="G5" i="18"/>
  <c r="H5" i="18"/>
  <c r="D5" i="18"/>
  <c r="K4" i="18"/>
  <c r="K3" i="18"/>
  <c r="J4" i="18"/>
  <c r="J3" i="18"/>
  <c r="C5" i="18"/>
  <c r="K5" i="18" l="1"/>
  <c r="I5" i="18"/>
  <c r="J5" i="18"/>
</calcChain>
</file>

<file path=xl/sharedStrings.xml><?xml version="1.0" encoding="utf-8"?>
<sst xmlns="http://schemas.openxmlformats.org/spreadsheetml/2006/main" count="352" uniqueCount="219">
  <si>
    <t>TC-ID</t>
    <phoneticPr fontId="1" type="noConversion"/>
  </si>
  <si>
    <t>시나리오 명</t>
    <phoneticPr fontId="1" type="noConversion"/>
  </si>
  <si>
    <t>시나리오 ID</t>
    <phoneticPr fontId="1" type="noConversion"/>
  </si>
  <si>
    <t>테스트 목표</t>
    <phoneticPr fontId="1" type="noConversion"/>
  </si>
  <si>
    <t>Precondition</t>
    <phoneticPr fontId="1" type="noConversion"/>
  </si>
  <si>
    <t>관련 TC ID</t>
    <phoneticPr fontId="1" type="noConversion"/>
  </si>
  <si>
    <t>상품 검색</t>
    <phoneticPr fontId="1" type="noConversion"/>
  </si>
  <si>
    <t>사용자가 원하는 상품을 장바구니에 담을 수 있어야 함</t>
    <phoneticPr fontId="1" type="noConversion"/>
  </si>
  <si>
    <t>검색 완료된 상품 리스트 존재</t>
    <phoneticPr fontId="1" type="noConversion"/>
  </si>
  <si>
    <t>Scenario ID</t>
    <phoneticPr fontId="1" type="noConversion"/>
  </si>
  <si>
    <t>사용자가 입력한 상품명으로 검색이 정상 동작하는지 확인</t>
    <phoneticPr fontId="1" type="noConversion"/>
  </si>
  <si>
    <t>SC-UI-001</t>
    <phoneticPr fontId="1" type="noConversion"/>
  </si>
  <si>
    <t>TC-UI-001</t>
    <phoneticPr fontId="1" type="noConversion"/>
  </si>
  <si>
    <t>상품 검색 가능</t>
    <phoneticPr fontId="1" type="noConversion"/>
  </si>
  <si>
    <t>P1</t>
    <phoneticPr fontId="1" type="noConversion"/>
  </si>
  <si>
    <t>TC-UI-002</t>
  </si>
  <si>
    <t>TC-UI-003</t>
  </si>
  <si>
    <t>TC-UI-008</t>
  </si>
  <si>
    <t>TC-UI-012</t>
  </si>
  <si>
    <t>TC-UI-014</t>
  </si>
  <si>
    <t>TC-UI-015</t>
  </si>
  <si>
    <t>TC-UI-016</t>
  </si>
  <si>
    <t>공백 검색 처리</t>
    <phoneticPr fontId="1" type="noConversion"/>
  </si>
  <si>
    <t>P2</t>
    <phoneticPr fontId="1" type="noConversion"/>
  </si>
  <si>
    <t>Y</t>
    <phoneticPr fontId="1" type="noConversion"/>
  </si>
  <si>
    <t>test_ui_search.py</t>
    <phoneticPr fontId="1" type="noConversion"/>
  </si>
  <si>
    <t>test_blank_search.py</t>
    <phoneticPr fontId="1" type="noConversion"/>
  </si>
  <si>
    <t>test_invalied_search.py</t>
    <phoneticPr fontId="1" type="noConversion"/>
  </si>
  <si>
    <t>P3</t>
    <phoneticPr fontId="1" type="noConversion"/>
  </si>
  <si>
    <t>검색 자동완성</t>
    <phoneticPr fontId="1" type="noConversion"/>
  </si>
  <si>
    <t>최근 검색어 표시</t>
    <phoneticPr fontId="1" type="noConversion"/>
  </si>
  <si>
    <t>검색어 예외 처리</t>
    <phoneticPr fontId="1" type="noConversion"/>
  </si>
  <si>
    <t>검색 결과 페이지 반응</t>
    <phoneticPr fontId="1" type="noConversion"/>
  </si>
  <si>
    <t>과거에 검색했던 키워드가 검색창 진입 시 노출되어야 함</t>
    <phoneticPr fontId="1" type="noConversion"/>
  </si>
  <si>
    <t>검색 히스토리 존재</t>
    <phoneticPr fontId="1" type="noConversion"/>
  </si>
  <si>
    <t>공백, 특수문자, 대소문자 등의 비정상 입력에 대한 예외처리가 되어야 함</t>
    <phoneticPr fontId="1" type="noConversion"/>
  </si>
  <si>
    <t>검색창 진입 가능</t>
    <phoneticPr fontId="1" type="noConversion"/>
  </si>
  <si>
    <t>유효한 키워드 입력</t>
    <phoneticPr fontId="1" type="noConversion"/>
  </si>
  <si>
    <t>SC-UI-002</t>
  </si>
  <si>
    <t>SC-UI-004</t>
  </si>
  <si>
    <t>SC-UI-005</t>
  </si>
  <si>
    <t>SC-UI-006</t>
  </si>
  <si>
    <t>SC-UI-007</t>
  </si>
  <si>
    <t>SC-UI-009</t>
  </si>
  <si>
    <t>SC-UI-011</t>
  </si>
  <si>
    <t>SC-UI-012</t>
  </si>
  <si>
    <t>SC-UI-013</t>
  </si>
  <si>
    <t>SC-UI-014</t>
  </si>
  <si>
    <t>SC-UI-015</t>
  </si>
  <si>
    <t>SC-UI-016</t>
  </si>
  <si>
    <t>마켓컬리 메인페이지 접속가능 상태</t>
    <phoneticPr fontId="1" type="noConversion"/>
  </si>
  <si>
    <t>검색창 UI 확인</t>
    <phoneticPr fontId="1" type="noConversion"/>
  </si>
  <si>
    <t>검색창에 "검색어를 입력해주세요" 텍스트, 돋보기 버튼 노출되어야함</t>
    <phoneticPr fontId="1" type="noConversion"/>
  </si>
  <si>
    <t xml:space="preserve">무효 키워드 검색 </t>
    <phoneticPr fontId="1" type="noConversion"/>
  </si>
  <si>
    <t>자동완성 노출</t>
    <phoneticPr fontId="1" type="noConversion"/>
  </si>
  <si>
    <t>N</t>
    <phoneticPr fontId="1" type="noConversion"/>
  </si>
  <si>
    <t>-</t>
    <phoneticPr fontId="1" type="noConversion"/>
  </si>
  <si>
    <t>SC-UI-003</t>
    <phoneticPr fontId="1" type="noConversion"/>
  </si>
  <si>
    <t>장바구니 진입</t>
    <phoneticPr fontId="1" type="noConversion"/>
  </si>
  <si>
    <t>홈에서 장바구니 버튼 클릭 시 장바구니 페이지로 이동 되는지 확인</t>
    <phoneticPr fontId="1" type="noConversion"/>
  </si>
  <si>
    <t>장바구니 버튼 동작</t>
    <phoneticPr fontId="1" type="noConversion"/>
  </si>
  <si>
    <t>test_ui_cart.py</t>
    <phoneticPr fontId="1" type="noConversion"/>
  </si>
  <si>
    <t>SC-UI-008</t>
    <phoneticPr fontId="1" type="noConversion"/>
  </si>
  <si>
    <t>최근 검색어 확인</t>
    <phoneticPr fontId="1" type="noConversion"/>
  </si>
  <si>
    <t>마켓컬리 메인페이지에 우측 상단에 장바구니 아이콘 노출 확인</t>
    <phoneticPr fontId="1" type="noConversion"/>
  </si>
  <si>
    <t>검색 결과 정렬 필터</t>
    <phoneticPr fontId="1" type="noConversion"/>
  </si>
  <si>
    <t>상품 검색 후 정렬 필터 버튼들이 올바르게 작동하는지 확인</t>
    <phoneticPr fontId="1" type="noConversion"/>
  </si>
  <si>
    <t>마켓컬리 접속 및 검색 완료 상태</t>
    <phoneticPr fontId="1" type="noConversion"/>
  </si>
  <si>
    <t>카테고리 필터 노출 확인</t>
    <phoneticPr fontId="1" type="noConversion"/>
  </si>
  <si>
    <t>test_ui_category.py</t>
    <phoneticPr fontId="1" type="noConversion"/>
  </si>
  <si>
    <t>카테고리 필터 클릭 동작</t>
    <phoneticPr fontId="1" type="noConversion"/>
  </si>
  <si>
    <t>로그인 실패 처리</t>
    <phoneticPr fontId="1" type="noConversion"/>
  </si>
  <si>
    <t>잘못된 아이디/비밀번호 입력 시 로그인 실패가 적절히 처리 되는지 확인</t>
    <phoneticPr fontId="1" type="noConversion"/>
  </si>
  <si>
    <t>마켓컬리 메인 페이지 접속</t>
    <phoneticPr fontId="1" type="noConversion"/>
  </si>
  <si>
    <t>잘못된 로그인 실패 처리</t>
    <phoneticPr fontId="1" type="noConversion"/>
  </si>
  <si>
    <t>test_ui_login.py</t>
    <phoneticPr fontId="1" type="noConversion"/>
  </si>
  <si>
    <t>SC-UI-010</t>
    <phoneticPr fontId="1" type="noConversion"/>
  </si>
  <si>
    <t>로그인 성공 및 마이페이지 진입</t>
    <phoneticPr fontId="1" type="noConversion"/>
  </si>
  <si>
    <t>상세 페이지 내 '장바구니 담기' 버튼이 정상 동작하는지 확인</t>
    <phoneticPr fontId="1" type="noConversion"/>
  </si>
  <si>
    <t>삼품 상세페이지 접근 가능</t>
    <phoneticPr fontId="1" type="noConversion"/>
  </si>
  <si>
    <t>장바구니 담기 동작 확인</t>
    <phoneticPr fontId="1" type="noConversion"/>
  </si>
  <si>
    <t>SC-UI-011</t>
    <phoneticPr fontId="1" type="noConversion"/>
  </si>
  <si>
    <t>로그인 성공 처리</t>
    <phoneticPr fontId="1" type="noConversion"/>
  </si>
  <si>
    <t>유효한 ID/PW로 로그인후 마이페이지 진입이 정상 동작하는지 확인</t>
    <phoneticPr fontId="1" type="noConversion"/>
  </si>
  <si>
    <t>유효한 계정 정보 공유</t>
    <phoneticPr fontId="1" type="noConversion"/>
  </si>
  <si>
    <t>마이페이지 접근</t>
    <phoneticPr fontId="1" type="noConversion"/>
  </si>
  <si>
    <t>상품 검색 후 장바구니 추가</t>
    <phoneticPr fontId="1" type="noConversion"/>
  </si>
  <si>
    <t>검색된 상품의 수량을 조절하고 장바구니에 정상적으로 담기는지 확인</t>
    <phoneticPr fontId="1" type="noConversion"/>
  </si>
  <si>
    <t>마켓컬리 메인 접속 가능</t>
    <phoneticPr fontId="1" type="noConversion"/>
  </si>
  <si>
    <t>상품 검색 후 수량 조절 UI 진입</t>
    <phoneticPr fontId="1" type="noConversion"/>
  </si>
  <si>
    <t>test_ui_add_product.py</t>
    <phoneticPr fontId="1" type="noConversion"/>
  </si>
  <si>
    <t>수량 증가 버튼 동작</t>
    <phoneticPr fontId="1" type="noConversion"/>
  </si>
  <si>
    <t>수량 감소 버튼 동작</t>
    <phoneticPr fontId="1" type="noConversion"/>
  </si>
  <si>
    <t>TC-UI-018</t>
  </si>
  <si>
    <t>TC-UI-019</t>
  </si>
  <si>
    <t>TC-UI-020</t>
  </si>
  <si>
    <t>로그아웃 처리</t>
    <phoneticPr fontId="1" type="noConversion"/>
  </si>
  <si>
    <t>로그인 후 로그아웃이 정상적으로 동작 하는지 확인</t>
    <phoneticPr fontId="1" type="noConversion"/>
  </si>
  <si>
    <t>로그인 상태</t>
    <phoneticPr fontId="1" type="noConversion"/>
  </si>
  <si>
    <t>상품 이미지 확인</t>
    <phoneticPr fontId="1" type="noConversion"/>
  </si>
  <si>
    <t>검색된 상품의 이미지가 정상적으로 로딩되는지 확인</t>
    <phoneticPr fontId="1" type="noConversion"/>
  </si>
  <si>
    <t>검색 결과 노출</t>
    <phoneticPr fontId="1" type="noConversion"/>
  </si>
  <si>
    <t>반응형 UI 확인</t>
    <phoneticPr fontId="1" type="noConversion"/>
  </si>
  <si>
    <t>모바일 해상도에서 검색, 버튼, 장바구니 등 주요 UI가 정상 표시되는지 확인</t>
    <phoneticPr fontId="1" type="noConversion"/>
  </si>
  <si>
    <t>해상도 모바일로 설정</t>
    <phoneticPr fontId="1" type="noConversion"/>
  </si>
  <si>
    <t>로그아웃 버튼 동작 확인</t>
    <phoneticPr fontId="1" type="noConversion"/>
  </si>
  <si>
    <t>상품 이미지 정상 로딩</t>
    <phoneticPr fontId="1" type="noConversion"/>
  </si>
  <si>
    <t>모바일 검색창 확인</t>
    <phoneticPr fontId="1" type="noConversion"/>
  </si>
  <si>
    <t>모바일 장바구니 버튼 위치 확인</t>
    <phoneticPr fontId="1" type="noConversion"/>
  </si>
  <si>
    <t>SC-API-001</t>
    <phoneticPr fontId="1" type="noConversion"/>
  </si>
  <si>
    <t>잘못된 API 키 인증 실패 처리</t>
    <phoneticPr fontId="1" type="noConversion"/>
  </si>
  <si>
    <t>유효하지 않은 API 키 사용 시 인증 실패가 적절하게 반환되는지 확인</t>
    <phoneticPr fontId="1" type="noConversion"/>
  </si>
  <si>
    <t>API  호출 가능, 유효하지 않은 키 준비</t>
    <phoneticPr fontId="1" type="noConversion"/>
  </si>
  <si>
    <t>잘못된 API키 요청 테스트</t>
    <phoneticPr fontId="1" type="noConversion"/>
  </si>
  <si>
    <t>TC-API-001</t>
    <phoneticPr fontId="1" type="noConversion"/>
  </si>
  <si>
    <t>SC-API-002</t>
  </si>
  <si>
    <t>영화 상세 조회</t>
    <phoneticPr fontId="1" type="noConversion"/>
  </si>
  <si>
    <t>유효한 영화 ID로 조회 시 올바른 상세 정보가 반환되는지 검증</t>
    <phoneticPr fontId="1" type="noConversion"/>
  </si>
  <si>
    <t>TC-API-002</t>
  </si>
  <si>
    <t>영화 상세 정보 조회 성공</t>
    <phoneticPr fontId="1" type="noConversion"/>
  </si>
  <si>
    <t>test_movie_detail.py</t>
    <phoneticPr fontId="1" type="noConversion"/>
  </si>
  <si>
    <t>SC-API-003</t>
    <phoneticPr fontId="1" type="noConversion"/>
  </si>
  <si>
    <t>인기 영화 목록 조회</t>
    <phoneticPr fontId="1" type="noConversion"/>
  </si>
  <si>
    <t>인기 영화 목록을 정상적으로 가져오고 결과 리스트가 포함되는지 확인</t>
    <phoneticPr fontId="1" type="noConversion"/>
  </si>
  <si>
    <t>TC-API-003</t>
    <phoneticPr fontId="1" type="noConversion"/>
  </si>
  <si>
    <t>인기 영화 목록 정상 조회</t>
    <phoneticPr fontId="1" type="noConversion"/>
  </si>
  <si>
    <t>test_popular_movie.py</t>
    <phoneticPr fontId="1" type="noConversion"/>
  </si>
  <si>
    <t>SC-API-004</t>
  </si>
  <si>
    <t>SC-API-004</t>
    <phoneticPr fontId="1" type="noConversion"/>
  </si>
  <si>
    <t>영화 검색</t>
    <phoneticPr fontId="1" type="noConversion"/>
  </si>
  <si>
    <t>키워드 기반으로 영화 목록 검색 시 결과가 정확히 반환되는지 확인</t>
    <phoneticPr fontId="1" type="noConversion"/>
  </si>
  <si>
    <t>API KEY 유효, 영화 ID 존재, 서버 정상</t>
    <phoneticPr fontId="1" type="noConversion"/>
  </si>
  <si>
    <t>API KEY 유효, 서버 정상 상태</t>
    <phoneticPr fontId="1" type="noConversion"/>
  </si>
  <si>
    <t>TC-API-004</t>
    <phoneticPr fontId="1" type="noConversion"/>
  </si>
  <si>
    <t>영화 키워드 검색 정상 작동</t>
    <phoneticPr fontId="1" type="noConversion"/>
  </si>
  <si>
    <t>test_search_movie.py</t>
    <phoneticPr fontId="1" type="noConversion"/>
  </si>
  <si>
    <t>SC-API-005</t>
  </si>
  <si>
    <t>SC-API-006</t>
  </si>
  <si>
    <t>SC-API-007</t>
  </si>
  <si>
    <t>SC-API-008</t>
  </si>
  <si>
    <t>존재하지 않는 영화 ID 요청</t>
    <phoneticPr fontId="1" type="noConversion"/>
  </si>
  <si>
    <t>존재하지 않는 ID 입력 시 오류 응답(404 또는 메시지) 확인</t>
    <phoneticPr fontId="1" type="noConversion"/>
  </si>
  <si>
    <t>API 호출 가능, 잘못된 ID 입력</t>
    <phoneticPr fontId="1" type="noConversion"/>
  </si>
  <si>
    <t>API KEY 호출 가능, 영화 존재</t>
    <phoneticPr fontId="1" type="noConversion"/>
  </si>
  <si>
    <t>필수 피라미터 누락 처리</t>
    <phoneticPr fontId="1" type="noConversion"/>
  </si>
  <si>
    <t>API KEY 또는 query 생략 시 에러 메시지 또는 인증 실패 반환 확인</t>
    <phoneticPr fontId="1" type="noConversion"/>
  </si>
  <si>
    <t>API 문서 기준 확인</t>
    <phoneticPr fontId="1" type="noConversion"/>
  </si>
  <si>
    <t>다국어/특수문자 검색</t>
    <phoneticPr fontId="1" type="noConversion"/>
  </si>
  <si>
    <t>한글, 특수문자 등 다양한 입력값에 대한 검색 처리 확인</t>
    <phoneticPr fontId="1" type="noConversion"/>
  </si>
  <si>
    <t>API 검색 기능 호출 가능</t>
    <phoneticPr fontId="1" type="noConversion"/>
  </si>
  <si>
    <t>응답 시간 검증</t>
    <phoneticPr fontId="1" type="noConversion"/>
  </si>
  <si>
    <t>영화 API 응답이 SLA 기준 (예: 2초)이내로 반환되는지 확인</t>
    <phoneticPr fontId="1" type="noConversion"/>
  </si>
  <si>
    <t>정상 응답 가능한 상태</t>
    <phoneticPr fontId="1" type="noConversion"/>
  </si>
  <si>
    <t>TC-API-005</t>
  </si>
  <si>
    <t>TC-API-006</t>
  </si>
  <si>
    <t>TC-API-008</t>
  </si>
  <si>
    <t>존재하지 않는 영화 ID 테스트</t>
    <phoneticPr fontId="1" type="noConversion"/>
  </si>
  <si>
    <t>API KEY 누락 요청 테스트</t>
    <phoneticPr fontId="1" type="noConversion"/>
  </si>
  <si>
    <t>P1</t>
  </si>
  <si>
    <t xml:space="preserve">특수문자 검색 테스트 </t>
    <phoneticPr fontId="1" type="noConversion"/>
  </si>
  <si>
    <t>한글 검색어 테스트</t>
    <phoneticPr fontId="1" type="noConversion"/>
  </si>
  <si>
    <t>응답 시간 측정 테스트</t>
    <phoneticPr fontId="1" type="noConversion"/>
  </si>
  <si>
    <t>SC-API-008</t>
    <phoneticPr fontId="1" type="noConversion"/>
  </si>
  <si>
    <t>TC-UI-004</t>
    <phoneticPr fontId="1" type="noConversion"/>
  </si>
  <si>
    <t>TC-UI-005</t>
    <phoneticPr fontId="1" type="noConversion"/>
  </si>
  <si>
    <t>TC-UI-006</t>
    <phoneticPr fontId="1" type="noConversion"/>
  </si>
  <si>
    <t>SC-UI-009</t>
    <phoneticPr fontId="1" type="noConversion"/>
  </si>
  <si>
    <t>TC-UI-007</t>
    <phoneticPr fontId="1" type="noConversion"/>
  </si>
  <si>
    <t>TC-UI-007, TC-UI-008</t>
    <phoneticPr fontId="1" type="noConversion"/>
  </si>
  <si>
    <t>TC-UI-009</t>
    <phoneticPr fontId="1" type="noConversion"/>
  </si>
  <si>
    <t>TC-UI-010</t>
    <phoneticPr fontId="1" type="noConversion"/>
  </si>
  <si>
    <t>TC-UI-011</t>
    <phoneticPr fontId="1" type="noConversion"/>
  </si>
  <si>
    <t>TC-UI-011, TC-UI-012</t>
    <phoneticPr fontId="1" type="noConversion"/>
  </si>
  <si>
    <t>TC-UI-013</t>
    <phoneticPr fontId="1" type="noConversion"/>
  </si>
  <si>
    <t>TC-UI-013, TC-UI-014, TC-UI-015, TC-UI-016</t>
    <phoneticPr fontId="1" type="noConversion"/>
  </si>
  <si>
    <t>TC-UI-017</t>
    <phoneticPr fontId="1" type="noConversion"/>
  </si>
  <si>
    <t>TC-UI-018</t>
    <phoneticPr fontId="1" type="noConversion"/>
  </si>
  <si>
    <t>TC-UI-019, TC-UI-020</t>
    <phoneticPr fontId="1" type="noConversion"/>
  </si>
  <si>
    <t>SC-UI-005</t>
    <phoneticPr fontId="1" type="noConversion"/>
  </si>
  <si>
    <t>TC-UI-002, TC-UI-003</t>
    <phoneticPr fontId="1" type="noConversion"/>
  </si>
  <si>
    <t>TC-UI-021</t>
    <phoneticPr fontId="1" type="noConversion"/>
  </si>
  <si>
    <t>검색창 UI 버튼 정상 노출 확인</t>
    <phoneticPr fontId="1" type="noConversion"/>
  </si>
  <si>
    <t>SC-UI-002</t>
    <phoneticPr fontId="1" type="noConversion"/>
  </si>
  <si>
    <t>검색 실행 후 화면 전환 및 상품 리스트가 정상 렌더링 되어
야함</t>
    <phoneticPr fontId="1" type="noConversion"/>
  </si>
  <si>
    <t>SC-UI-003</t>
  </si>
  <si>
    <t>SC-UI-008</t>
  </si>
  <si>
    <t>SC-UI-010</t>
  </si>
  <si>
    <t>TC-API-007</t>
    <phoneticPr fontId="1" type="noConversion"/>
  </si>
  <si>
    <t>TC-API-007, TC-API-008</t>
    <phoneticPr fontId="1" type="noConversion"/>
  </si>
  <si>
    <t>TC-API-009</t>
    <phoneticPr fontId="1" type="noConversion"/>
  </si>
  <si>
    <t>test_api_sla.py</t>
    <phoneticPr fontId="1" type="noConversion"/>
  </si>
  <si>
    <t>Result</t>
    <phoneticPr fontId="1" type="noConversion"/>
  </si>
  <si>
    <t>P</t>
  </si>
  <si>
    <t>P</t>
    <phoneticPr fontId="1" type="noConversion"/>
  </si>
  <si>
    <t>F</t>
  </si>
  <si>
    <t>F</t>
    <phoneticPr fontId="1" type="noConversion"/>
  </si>
  <si>
    <t>N/A</t>
    <phoneticPr fontId="1" type="noConversion"/>
  </si>
  <si>
    <t>B</t>
    <phoneticPr fontId="1" type="noConversion"/>
  </si>
  <si>
    <t>기능</t>
    <phoneticPr fontId="1" type="noConversion"/>
  </si>
  <si>
    <t>우선 순위</t>
    <phoneticPr fontId="1" type="noConversion"/>
  </si>
  <si>
    <t>자동화 여부</t>
    <phoneticPr fontId="1" type="noConversion"/>
  </si>
  <si>
    <t>구분</t>
  </si>
  <si>
    <t>총 항목</t>
  </si>
  <si>
    <t>검증항목</t>
  </si>
  <si>
    <t>PASS</t>
  </si>
  <si>
    <t>FAIL</t>
  </si>
  <si>
    <t>BLOCK</t>
  </si>
  <si>
    <t>N/A</t>
  </si>
  <si>
    <t>성공율</t>
  </si>
  <si>
    <t>결함율</t>
  </si>
  <si>
    <t>API_TC</t>
  </si>
  <si>
    <t>전체</t>
  </si>
  <si>
    <t>마켓컬리_TC</t>
    <phoneticPr fontId="1" type="noConversion"/>
  </si>
  <si>
    <t>자동화 파일</t>
    <phoneticPr fontId="1" type="noConversion"/>
  </si>
  <si>
    <t>PASS 달성률</t>
    <phoneticPr fontId="1" type="noConversion"/>
  </si>
  <si>
    <t>FAIL 달성률</t>
    <phoneticPr fontId="1" type="noConversion"/>
  </si>
  <si>
    <t>BLOCK 달성률</t>
    <phoneticPr fontId="1" type="noConversion"/>
  </si>
  <si>
    <t>N/A 달성률</t>
    <phoneticPr fontId="1" type="noConversion"/>
  </si>
  <si>
    <t>test_movie_invalid_api_key.py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</si>
</sst>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</font>
    <font>
      <u/>
      <sz val="11"/>
      <color theme="10"/>
      <name val="맑은 고딕"/>
      <family val="2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1"/>
      <color rgb="FF00B050"/>
      <name val="맑은 고딕"/>
      <family val="3"/>
      <charset val="129"/>
      <scheme val="minor"/>
    </font>
    <font>
      <b/>
      <sz val="11"/>
      <color theme="1"/>
      <name val="Microsoft GothicNeo"/>
      <family val="2"/>
      <charset val="129"/>
    </font>
    <font>
      <b/>
      <sz val="11"/>
      <color theme="1"/>
      <name val="Microsoft GothicNeo"/>
      <family val="3"/>
      <charset val="129"/>
    </font>
    <font>
      <sz val="11"/>
      <color theme="1"/>
      <name val="Microsoft GothicNeo"/>
      <family val="3"/>
      <charset val="129"/>
    </font>
    <font>
      <b/>
      <sz val="11"/>
      <color theme="1"/>
      <name val="맑은 고딕"/>
      <family val="2"/>
      <charset val="129"/>
    </font>
  </fonts>
  <fills count="7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" xfId="0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0" xfId="1" applyAlignment="1">
      <alignment vertical="center" wrapText="1"/>
    </xf>
    <xf numFmtId="0" fontId="8" fillId="2" borderId="1" xfId="0" applyFont="1" applyFill="1" applyBorder="1" applyAlignment="1">
      <alignment horizontal="center" vertical="center"/>
    </xf>
    <xf numFmtId="0" fontId="9" fillId="3" borderId="1" xfId="0" applyFont="1" applyFill="1" applyBorder="1">
      <alignment vertical="center"/>
    </xf>
    <xf numFmtId="0" fontId="9" fillId="0" borderId="1" xfId="0" applyFont="1" applyBorder="1" applyAlignment="1">
      <alignment horizontal="right" vertical="center"/>
    </xf>
    <xf numFmtId="9" fontId="9" fillId="0" borderId="1" xfId="0" applyNumberFormat="1" applyFont="1" applyBorder="1" applyAlignment="1">
      <alignment horizontal="right" vertical="center"/>
    </xf>
    <xf numFmtId="0" fontId="9" fillId="2" borderId="1" xfId="0" applyFont="1" applyFill="1" applyBorder="1" applyAlignment="1">
      <alignment horizontal="center" vertical="center" wrapText="1"/>
    </xf>
    <xf numFmtId="0" fontId="10" fillId="0" borderId="1" xfId="0" applyFont="1" applyBorder="1">
      <alignment vertical="center"/>
    </xf>
    <xf numFmtId="0" fontId="10" fillId="0" borderId="1" xfId="0" applyFont="1" applyBorder="1" applyAlignment="1">
      <alignment vertical="center" wrapText="1"/>
    </xf>
    <xf numFmtId="0" fontId="10" fillId="0" borderId="2" xfId="0" applyFont="1" applyBorder="1" applyAlignment="1">
      <alignment vertical="center" wrapText="1"/>
    </xf>
    <xf numFmtId="0" fontId="9" fillId="3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1" xfId="0" quotePrefix="1" applyFont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</cellXfs>
  <cellStyles count="2">
    <cellStyle name="표준" xfId="0" builtinId="0"/>
    <cellStyle name="하이퍼링크" xfId="1" builtinId="8"/>
  </cellStyles>
  <dxfs count="2">
    <dxf>
      <fill>
        <patternFill>
          <fgColor theme="3" tint="0.24994659260841701"/>
        </patternFill>
      </fill>
    </dxf>
    <dxf>
      <fill>
        <patternFill>
          <bgColor theme="3" tint="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22/11/relationships/FeaturePropertyBag" Target="featurePropertyBag/featurePropertyBag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7C536-C125-413A-9F1E-ACB28228FF34}">
  <sheetPr codeName="Sheet1"/>
  <dimension ref="B1:R5"/>
  <sheetViews>
    <sheetView workbookViewId="0">
      <selection activeCell="G20" sqref="G20"/>
    </sheetView>
  </sheetViews>
  <sheetFormatPr defaultRowHeight="17.399999999999999" x14ac:dyDescent="0.4"/>
  <cols>
    <col min="1" max="1" width="5" customWidth="1"/>
    <col min="2" max="2" width="14.796875" customWidth="1"/>
    <col min="3" max="3" width="14.09765625" customWidth="1"/>
    <col min="4" max="4" width="15.59765625" customWidth="1"/>
    <col min="5" max="5" width="10.8984375" customWidth="1"/>
    <col min="6" max="6" width="11.296875" customWidth="1"/>
    <col min="7" max="7" width="13" customWidth="1"/>
    <col min="8" max="8" width="12" customWidth="1"/>
    <col min="9" max="9" width="11.69921875" customWidth="1"/>
    <col min="10" max="10" width="14.8984375" customWidth="1"/>
    <col min="11" max="11" width="15.69921875" customWidth="1"/>
  </cols>
  <sheetData>
    <row r="1" spans="2:18" x14ac:dyDescent="0.4">
      <c r="K1">
        <v>10</v>
      </c>
      <c r="L1">
        <v>0</v>
      </c>
      <c r="M1">
        <v>0</v>
      </c>
      <c r="N1">
        <v>0</v>
      </c>
      <c r="O1" t="s">
        <v>214</v>
      </c>
      <c r="P1" t="s">
        <v>215</v>
      </c>
      <c r="Q1" t="s">
        <v>216</v>
      </c>
      <c r="R1" t="s">
        <v>217</v>
      </c>
    </row>
    <row r="2" spans="2:18" x14ac:dyDescent="0.4">
      <c r="B2" s="19" t="s">
        <v>201</v>
      </c>
      <c r="C2" s="19" t="s">
        <v>202</v>
      </c>
      <c r="D2" s="19" t="s">
        <v>203</v>
      </c>
      <c r="E2" s="19" t="s">
        <v>204</v>
      </c>
      <c r="F2" s="19" t="s">
        <v>205</v>
      </c>
      <c r="G2" s="19" t="s">
        <v>206</v>
      </c>
      <c r="H2" s="19" t="s">
        <v>207</v>
      </c>
      <c r="I2" s="19" t="s">
        <v>208</v>
      </c>
      <c r="J2" s="19" t="s">
        <v>209</v>
      </c>
      <c r="K2" s="19">
        <v>10</v>
      </c>
      <c r="L2">
        <v>0</v>
      </c>
      <c r="M2">
        <v>0</v>
      </c>
      <c r="N2">
        <v>0</v>
      </c>
    </row>
    <row r="3" spans="2:18" x14ac:dyDescent="0.4">
      <c r="B3" s="20" t="s">
        <v>212</v>
      </c>
      <c r="C3" s="21">
        <f ca="1">COUNTA(INDIRECT("'"&amp;B3&amp;"'!B3:B100"))</f>
        <v>21</v>
      </c>
      <c r="D3" s="21">
        <f ca="1">COUNTIFS(INDIRECT("'"&amp;B3&amp;"'!h3:h100"),"&lt;&gt;")</f>
        <v>7</v>
      </c>
      <c r="E3" s="21">
        <f ca="1">COUNTIF(INDIRECT("'"&amp;B3&amp;"'!h3:h100"),"P")</f>
        <v>4</v>
      </c>
      <c r="F3" s="21">
        <f ca="1">COUNTIF(INDIRECT("'"&amp;B3&amp;"'!h3:h100"),"F")</f>
        <v>3</v>
      </c>
      <c r="G3" s="21">
        <f ca="1">COUNTIF(INDIRECT("'"&amp;B3&amp;"'!h3:h100"),"B")</f>
        <v>0</v>
      </c>
      <c r="H3" s="21">
        <f ca="1">COUNTIF(INDIRECT("'"&amp;B3&amp;"'!h3:h100"),"N/A")</f>
        <v>0</v>
      </c>
      <c r="I3" s="22" t="str">
        <f ca="1">IF(D3=0, "0%", ROUND((E3/D3*100),0)&amp;"%")</f>
        <v>57%</v>
      </c>
      <c r="J3" s="22" t="str">
        <f ca="1">IF(D3=0,"0%",ROUND((F3/D3*100),0)&amp;"%")</f>
        <v>43%</v>
      </c>
      <c r="K3" s="22" t="str">
        <f ca="1">IF(D3=0,"0%",ROUND((D3/C3*100),0)&amp;"%")</f>
        <v>33%</v>
      </c>
    </row>
    <row r="4" spans="2:18" x14ac:dyDescent="0.4">
      <c r="B4" s="20" t="s">
        <v>210</v>
      </c>
      <c r="C4" s="21">
        <f ca="1">COUNTA(INDIRECT("'"&amp;B4&amp;"'!B3:B100"))</f>
        <v>9</v>
      </c>
      <c r="D4" s="21">
        <f ca="1">COUNTIFS(INDIRECT("'"&amp;B4&amp;"'!h3:h100"),"&lt;&gt;")</f>
        <v>3</v>
      </c>
      <c r="E4" s="21">
        <f ca="1">COUNTIF(INDIRECT("'"&amp;B4&amp;"'!h3:h100"),"P")</f>
        <v>2</v>
      </c>
      <c r="F4" s="21">
        <f ca="1">COUNTIF(INDIRECT("'"&amp;B4&amp;"'!h3:h100"),"F")</f>
        <v>1</v>
      </c>
      <c r="G4" s="21">
        <f ca="1">COUNTIF(INDIRECT("'"&amp;B4&amp;"'!h3:h100"),"B")</f>
        <v>0</v>
      </c>
      <c r="H4" s="21">
        <f ca="1">COUNTIF(INDIRECT("'"&amp;B4&amp;"'!h3:h100"),"N/A")</f>
        <v>0</v>
      </c>
      <c r="I4" s="22" t="str">
        <f ca="1">IF(D4=0, "0%", ROUND((E4/D4*100),0)&amp;"%")</f>
        <v>67%</v>
      </c>
      <c r="J4" s="22" t="str">
        <f ca="1">IF(D4=0,"0%",ROUND((F4/D4*100),0)&amp;"%")</f>
        <v>33%</v>
      </c>
      <c r="K4" s="22" t="str">
        <f ca="1">IF(D4=0,"0%",ROUND((D4/C4*100),0)&amp;"%")</f>
        <v>33%</v>
      </c>
    </row>
    <row r="5" spans="2:18" x14ac:dyDescent="0.4">
      <c r="B5" s="20" t="s">
        <v>211</v>
      </c>
      <c r="C5" s="21">
        <f ca="1">SUM(C3:C4)</f>
        <v>30</v>
      </c>
      <c r="D5" s="21">
        <f t="shared" ref="D5:H5" ca="1" si="0">SUM(D3:D4)</f>
        <v>10</v>
      </c>
      <c r="E5" s="21">
        <f t="shared" ca="1" si="0"/>
        <v>6</v>
      </c>
      <c r="F5" s="21">
        <f t="shared" ca="1" si="0"/>
        <v>4</v>
      </c>
      <c r="G5" s="21">
        <f t="shared" ca="1" si="0"/>
        <v>0</v>
      </c>
      <c r="H5" s="21">
        <f t="shared" ca="1" si="0"/>
        <v>0</v>
      </c>
      <c r="I5" s="22" t="str">
        <f ca="1">IF(D5=0, "0%", ROUND((E5/D5*100),0)&amp;"%")</f>
        <v>60%</v>
      </c>
      <c r="J5" s="22" t="str">
        <f ca="1">IF(D5=0,"0%",ROUND((F5/D5*100),0)&amp;"%")</f>
        <v>40%</v>
      </c>
      <c r="K5" s="22" t="str">
        <f ca="1">IF(D5=0,"0%",ROUND((D5/C5*100),0)&amp;"%")</f>
        <v>33%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FA54B-2571-45B6-9BD1-B6172B50E2C4}">
  <sheetPr codeName="Sheet2"/>
  <dimension ref="B1:F22"/>
  <sheetViews>
    <sheetView workbookViewId="0">
      <selection activeCell="D36" sqref="D36"/>
    </sheetView>
  </sheetViews>
  <sheetFormatPr defaultRowHeight="17.399999999999999" x14ac:dyDescent="0.4"/>
  <cols>
    <col min="1" max="1" width="2.59765625" customWidth="1"/>
    <col min="2" max="2" width="11.19921875" style="2" bestFit="1" customWidth="1"/>
    <col min="3" max="3" width="28.69921875" bestFit="1" customWidth="1"/>
    <col min="4" max="4" width="48.796875" style="11" customWidth="1"/>
    <col min="5" max="5" width="32.59765625" style="11" bestFit="1" customWidth="1"/>
    <col min="6" max="6" width="28.09765625" style="11" customWidth="1"/>
  </cols>
  <sheetData>
    <row r="1" spans="2:6" ht="12.45" customHeight="1" x14ac:dyDescent="0.4"/>
    <row r="2" spans="2:6" x14ac:dyDescent="0.4">
      <c r="B2" s="19" t="s">
        <v>2</v>
      </c>
      <c r="C2" s="19" t="s">
        <v>1</v>
      </c>
      <c r="D2" s="23" t="s">
        <v>3</v>
      </c>
      <c r="E2" s="23" t="s">
        <v>4</v>
      </c>
      <c r="F2" s="23" t="s">
        <v>5</v>
      </c>
    </row>
    <row r="3" spans="2:6" x14ac:dyDescent="0.4">
      <c r="B3" s="27" t="s">
        <v>11</v>
      </c>
      <c r="C3" s="24" t="s">
        <v>6</v>
      </c>
      <c r="D3" s="25" t="s">
        <v>10</v>
      </c>
      <c r="E3" s="26" t="s">
        <v>50</v>
      </c>
      <c r="F3" s="25" t="s">
        <v>12</v>
      </c>
    </row>
    <row r="4" spans="2:6" ht="27.6" x14ac:dyDescent="0.4">
      <c r="B4" s="27" t="s">
        <v>38</v>
      </c>
      <c r="C4" s="24" t="s">
        <v>51</v>
      </c>
      <c r="D4" s="25" t="s">
        <v>52</v>
      </c>
      <c r="E4" s="25" t="s">
        <v>50</v>
      </c>
      <c r="F4" s="25" t="s">
        <v>180</v>
      </c>
    </row>
    <row r="5" spans="2:6" x14ac:dyDescent="0.4">
      <c r="B5" s="27" t="s">
        <v>184</v>
      </c>
      <c r="C5" s="24" t="s">
        <v>29</v>
      </c>
      <c r="D5" s="25" t="s">
        <v>7</v>
      </c>
      <c r="E5" s="25" t="s">
        <v>8</v>
      </c>
      <c r="F5" s="25" t="s">
        <v>163</v>
      </c>
    </row>
    <row r="6" spans="2:6" x14ac:dyDescent="0.4">
      <c r="B6" s="27" t="s">
        <v>39</v>
      </c>
      <c r="C6" s="24" t="s">
        <v>30</v>
      </c>
      <c r="D6" s="25" t="s">
        <v>33</v>
      </c>
      <c r="E6" s="25" t="s">
        <v>34</v>
      </c>
      <c r="F6" s="25" t="s">
        <v>164</v>
      </c>
    </row>
    <row r="7" spans="2:6" ht="27.6" x14ac:dyDescent="0.4">
      <c r="B7" s="27" t="s">
        <v>40</v>
      </c>
      <c r="C7" s="24" t="s">
        <v>31</v>
      </c>
      <c r="D7" s="25" t="s">
        <v>35</v>
      </c>
      <c r="E7" s="25" t="s">
        <v>36</v>
      </c>
      <c r="F7" s="25" t="s">
        <v>179</v>
      </c>
    </row>
    <row r="8" spans="2:6" ht="27.6" x14ac:dyDescent="0.4">
      <c r="B8" s="27" t="s">
        <v>41</v>
      </c>
      <c r="C8" s="24" t="s">
        <v>32</v>
      </c>
      <c r="D8" s="25" t="s">
        <v>183</v>
      </c>
      <c r="E8" s="25" t="s">
        <v>37</v>
      </c>
      <c r="F8" s="25"/>
    </row>
    <row r="9" spans="2:6" ht="27.6" x14ac:dyDescent="0.4">
      <c r="B9" s="27" t="s">
        <v>42</v>
      </c>
      <c r="C9" s="24" t="s">
        <v>58</v>
      </c>
      <c r="D9" s="25" t="s">
        <v>59</v>
      </c>
      <c r="E9" s="25" t="s">
        <v>64</v>
      </c>
      <c r="F9" s="25" t="s">
        <v>165</v>
      </c>
    </row>
    <row r="10" spans="2:6" x14ac:dyDescent="0.4">
      <c r="B10" s="27" t="s">
        <v>185</v>
      </c>
      <c r="C10" s="24" t="s">
        <v>65</v>
      </c>
      <c r="D10" s="25" t="s">
        <v>66</v>
      </c>
      <c r="E10" s="25" t="s">
        <v>67</v>
      </c>
      <c r="F10" s="25" t="s">
        <v>168</v>
      </c>
    </row>
    <row r="11" spans="2:6" ht="27.6" x14ac:dyDescent="0.4">
      <c r="B11" s="27" t="s">
        <v>43</v>
      </c>
      <c r="C11" s="24" t="s">
        <v>71</v>
      </c>
      <c r="D11" s="25" t="s">
        <v>72</v>
      </c>
      <c r="E11" s="25" t="s">
        <v>73</v>
      </c>
      <c r="F11" s="25" t="s">
        <v>169</v>
      </c>
    </row>
    <row r="12" spans="2:6" x14ac:dyDescent="0.4">
      <c r="B12" s="27" t="s">
        <v>186</v>
      </c>
      <c r="C12" s="24" t="s">
        <v>6</v>
      </c>
      <c r="D12" s="25" t="s">
        <v>78</v>
      </c>
      <c r="E12" s="25" t="s">
        <v>79</v>
      </c>
      <c r="F12" s="25" t="s">
        <v>170</v>
      </c>
    </row>
    <row r="13" spans="2:6" ht="27.6" x14ac:dyDescent="0.4">
      <c r="B13" s="27" t="s">
        <v>44</v>
      </c>
      <c r="C13" s="24" t="s">
        <v>77</v>
      </c>
      <c r="D13" s="25" t="s">
        <v>83</v>
      </c>
      <c r="E13" s="25" t="s">
        <v>84</v>
      </c>
      <c r="F13" s="25" t="s">
        <v>172</v>
      </c>
    </row>
    <row r="14" spans="2:6" ht="27.6" x14ac:dyDescent="0.4">
      <c r="B14" s="27" t="s">
        <v>45</v>
      </c>
      <c r="C14" s="24" t="s">
        <v>86</v>
      </c>
      <c r="D14" s="25" t="s">
        <v>87</v>
      </c>
      <c r="E14" s="25" t="s">
        <v>88</v>
      </c>
      <c r="F14" s="25" t="s">
        <v>174</v>
      </c>
    </row>
    <row r="15" spans="2:6" x14ac:dyDescent="0.4">
      <c r="B15" s="27" t="s">
        <v>46</v>
      </c>
      <c r="C15" s="24" t="s">
        <v>96</v>
      </c>
      <c r="D15" s="25" t="s">
        <v>97</v>
      </c>
      <c r="E15" s="25" t="s">
        <v>98</v>
      </c>
      <c r="F15" s="25" t="s">
        <v>175</v>
      </c>
    </row>
    <row r="16" spans="2:6" x14ac:dyDescent="0.4">
      <c r="B16" s="27" t="s">
        <v>47</v>
      </c>
      <c r="C16" s="24" t="s">
        <v>99</v>
      </c>
      <c r="D16" s="25" t="s">
        <v>100</v>
      </c>
      <c r="E16" s="25" t="s">
        <v>101</v>
      </c>
      <c r="F16" s="25" t="s">
        <v>176</v>
      </c>
    </row>
    <row r="17" spans="2:6" ht="27.6" x14ac:dyDescent="0.4">
      <c r="B17" s="27" t="s">
        <v>48</v>
      </c>
      <c r="C17" s="24" t="s">
        <v>102</v>
      </c>
      <c r="D17" s="25" t="s">
        <v>103</v>
      </c>
      <c r="E17" s="25" t="s">
        <v>104</v>
      </c>
      <c r="F17" s="25" t="s">
        <v>177</v>
      </c>
    </row>
    <row r="22" spans="2:6" x14ac:dyDescent="0.4">
      <c r="E22" s="18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5D1EC-79D1-4777-93DA-09E7489ACD9C}">
  <sheetPr codeName="Sheet3"/>
  <dimension ref="B1:H29"/>
  <sheetViews>
    <sheetView zoomScaleNormal="100" workbookViewId="0">
      <selection activeCell="C40" sqref="C40"/>
    </sheetView>
  </sheetViews>
  <sheetFormatPr defaultRowHeight="17.399999999999999" x14ac:dyDescent="0.4"/>
  <cols>
    <col min="1" max="1" width="2.59765625" customWidth="1"/>
    <col min="2" max="2" width="11.19921875" style="2" bestFit="1" customWidth="1"/>
    <col min="3" max="3" width="23.5" style="11" bestFit="1" customWidth="1"/>
    <col min="4" max="4" width="9.19921875" style="1" bestFit="1" customWidth="1"/>
    <col min="5" max="5" width="11.09765625" bestFit="1" customWidth="1"/>
    <col min="6" max="6" width="21" bestFit="1" customWidth="1"/>
    <col min="7" max="8" width="11.296875" style="1" bestFit="1" customWidth="1"/>
  </cols>
  <sheetData>
    <row r="1" spans="2:8" ht="12.45" customHeight="1" x14ac:dyDescent="0.4"/>
    <row r="2" spans="2:8" x14ac:dyDescent="0.4">
      <c r="B2" s="19" t="s">
        <v>0</v>
      </c>
      <c r="C2" s="23" t="s">
        <v>198</v>
      </c>
      <c r="D2" s="19" t="s">
        <v>199</v>
      </c>
      <c r="E2" s="19" t="s">
        <v>200</v>
      </c>
      <c r="F2" s="35" t="s">
        <v>213</v>
      </c>
      <c r="G2" s="19" t="s">
        <v>9</v>
      </c>
      <c r="H2" s="19" t="s">
        <v>191</v>
      </c>
    </row>
    <row r="3" spans="2:8" x14ac:dyDescent="0.4">
      <c r="B3" s="28" t="s">
        <v>12</v>
      </c>
      <c r="C3" s="29" t="s">
        <v>13</v>
      </c>
      <c r="D3" s="30" t="s">
        <v>14</v>
      </c>
      <c r="E3" s="31" t="s">
        <v>24</v>
      </c>
      <c r="F3" s="30" t="s">
        <v>25</v>
      </c>
      <c r="G3" s="30" t="s">
        <v>11</v>
      </c>
      <c r="H3" s="32" t="s">
        <v>192</v>
      </c>
    </row>
    <row r="4" spans="2:8" x14ac:dyDescent="0.4">
      <c r="B4" s="28" t="s">
        <v>15</v>
      </c>
      <c r="C4" s="29" t="s">
        <v>22</v>
      </c>
      <c r="D4" s="30" t="s">
        <v>23</v>
      </c>
      <c r="E4" s="30" t="s">
        <v>24</v>
      </c>
      <c r="F4" s="30" t="s">
        <v>26</v>
      </c>
      <c r="G4" s="30" t="s">
        <v>178</v>
      </c>
      <c r="H4" s="32" t="s">
        <v>194</v>
      </c>
    </row>
    <row r="5" spans="2:8" x14ac:dyDescent="0.4">
      <c r="B5" s="28" t="s">
        <v>16</v>
      </c>
      <c r="C5" s="29" t="s">
        <v>53</v>
      </c>
      <c r="D5" s="33" t="s">
        <v>23</v>
      </c>
      <c r="E5" s="30" t="s">
        <v>24</v>
      </c>
      <c r="F5" s="30" t="s">
        <v>27</v>
      </c>
      <c r="G5" s="30" t="s">
        <v>178</v>
      </c>
      <c r="H5" s="32" t="s">
        <v>194</v>
      </c>
    </row>
    <row r="6" spans="2:8" x14ac:dyDescent="0.4">
      <c r="B6" s="28" t="s">
        <v>163</v>
      </c>
      <c r="C6" s="29" t="s">
        <v>54</v>
      </c>
      <c r="D6" s="30" t="s">
        <v>28</v>
      </c>
      <c r="E6" s="30" t="s">
        <v>55</v>
      </c>
      <c r="F6" s="34" t="s">
        <v>56</v>
      </c>
      <c r="G6" s="30" t="s">
        <v>57</v>
      </c>
      <c r="H6" s="32" t="s">
        <v>192</v>
      </c>
    </row>
    <row r="7" spans="2:8" x14ac:dyDescent="0.4">
      <c r="B7" s="28" t="s">
        <v>164</v>
      </c>
      <c r="C7" s="29" t="s">
        <v>63</v>
      </c>
      <c r="D7" s="30" t="s">
        <v>28</v>
      </c>
      <c r="E7" s="30" t="s">
        <v>55</v>
      </c>
      <c r="F7" s="34" t="s">
        <v>56</v>
      </c>
      <c r="G7" s="30" t="s">
        <v>39</v>
      </c>
      <c r="H7" s="32" t="s">
        <v>194</v>
      </c>
    </row>
    <row r="8" spans="2:8" x14ac:dyDescent="0.4">
      <c r="B8" s="28" t="s">
        <v>165</v>
      </c>
      <c r="C8" s="29" t="s">
        <v>60</v>
      </c>
      <c r="D8" s="30" t="s">
        <v>14</v>
      </c>
      <c r="E8" s="30" t="s">
        <v>24</v>
      </c>
      <c r="F8" s="30" t="s">
        <v>61</v>
      </c>
      <c r="G8" s="30" t="s">
        <v>62</v>
      </c>
      <c r="H8" s="32" t="s">
        <v>192</v>
      </c>
    </row>
    <row r="9" spans="2:8" x14ac:dyDescent="0.4">
      <c r="B9" s="28" t="s">
        <v>167</v>
      </c>
      <c r="C9" s="29" t="s">
        <v>68</v>
      </c>
      <c r="D9" s="30" t="s">
        <v>23</v>
      </c>
      <c r="E9" s="30" t="s">
        <v>24</v>
      </c>
      <c r="F9" s="30" t="s">
        <v>69</v>
      </c>
      <c r="G9" s="30" t="s">
        <v>166</v>
      </c>
      <c r="H9" s="32"/>
    </row>
    <row r="10" spans="2:8" x14ac:dyDescent="0.4">
      <c r="B10" s="28" t="s">
        <v>17</v>
      </c>
      <c r="C10" s="29" t="s">
        <v>70</v>
      </c>
      <c r="D10" s="30" t="s">
        <v>14</v>
      </c>
      <c r="E10" s="30" t="s">
        <v>24</v>
      </c>
      <c r="F10" s="30" t="s">
        <v>69</v>
      </c>
      <c r="G10" s="30" t="s">
        <v>43</v>
      </c>
      <c r="H10" s="32"/>
    </row>
    <row r="11" spans="2:8" x14ac:dyDescent="0.4">
      <c r="B11" s="28" t="s">
        <v>169</v>
      </c>
      <c r="C11" s="29" t="s">
        <v>74</v>
      </c>
      <c r="D11" s="30" t="s">
        <v>14</v>
      </c>
      <c r="E11" s="30" t="s">
        <v>24</v>
      </c>
      <c r="F11" s="30" t="s">
        <v>75</v>
      </c>
      <c r="G11" s="30" t="s">
        <v>76</v>
      </c>
      <c r="H11" s="32"/>
    </row>
    <row r="12" spans="2:8" x14ac:dyDescent="0.4">
      <c r="B12" s="28" t="s">
        <v>170</v>
      </c>
      <c r="C12" s="29" t="s">
        <v>80</v>
      </c>
      <c r="D12" s="30" t="s">
        <v>14</v>
      </c>
      <c r="E12" s="30" t="s">
        <v>55</v>
      </c>
      <c r="F12" s="30" t="str">
        <f>F7</f>
        <v>-</v>
      </c>
      <c r="G12" s="30" t="s">
        <v>81</v>
      </c>
      <c r="H12" s="32"/>
    </row>
    <row r="13" spans="2:8" x14ac:dyDescent="0.4">
      <c r="B13" s="28" t="s">
        <v>171</v>
      </c>
      <c r="C13" s="25" t="s">
        <v>82</v>
      </c>
      <c r="D13" s="30" t="s">
        <v>14</v>
      </c>
      <c r="E13" s="30" t="s">
        <v>55</v>
      </c>
      <c r="F13" s="34" t="s">
        <v>56</v>
      </c>
      <c r="G13" s="30" t="s">
        <v>45</v>
      </c>
      <c r="H13" s="32"/>
    </row>
    <row r="14" spans="2:8" x14ac:dyDescent="0.4">
      <c r="B14" s="28" t="s">
        <v>18</v>
      </c>
      <c r="C14" s="25" t="s">
        <v>85</v>
      </c>
      <c r="D14" s="30" t="s">
        <v>23</v>
      </c>
      <c r="E14" s="30" t="s">
        <v>55</v>
      </c>
      <c r="F14" s="34" t="s">
        <v>56</v>
      </c>
      <c r="G14" s="30" t="s">
        <v>45</v>
      </c>
      <c r="H14" s="32"/>
    </row>
    <row r="15" spans="2:8" ht="27.6" x14ac:dyDescent="0.4">
      <c r="B15" s="28" t="s">
        <v>173</v>
      </c>
      <c r="C15" s="25" t="s">
        <v>89</v>
      </c>
      <c r="D15" s="30" t="s">
        <v>14</v>
      </c>
      <c r="E15" s="30" t="s">
        <v>24</v>
      </c>
      <c r="F15" s="30" t="s">
        <v>90</v>
      </c>
      <c r="G15" s="30" t="s">
        <v>46</v>
      </c>
      <c r="H15" s="32"/>
    </row>
    <row r="16" spans="2:8" x14ac:dyDescent="0.4">
      <c r="B16" s="28" t="s">
        <v>19</v>
      </c>
      <c r="C16" s="25" t="s">
        <v>91</v>
      </c>
      <c r="D16" s="30" t="s">
        <v>14</v>
      </c>
      <c r="E16" s="30" t="s">
        <v>24</v>
      </c>
      <c r="F16" s="30" t="s">
        <v>90</v>
      </c>
      <c r="G16" s="30" t="s">
        <v>46</v>
      </c>
      <c r="H16" s="32"/>
    </row>
    <row r="17" spans="2:8" x14ac:dyDescent="0.4">
      <c r="B17" s="28" t="s">
        <v>20</v>
      </c>
      <c r="C17" s="25" t="s">
        <v>92</v>
      </c>
      <c r="D17" s="30" t="s">
        <v>14</v>
      </c>
      <c r="E17" s="30" t="s">
        <v>24</v>
      </c>
      <c r="F17" s="30" t="s">
        <v>90</v>
      </c>
      <c r="G17" s="30" t="s">
        <v>46</v>
      </c>
      <c r="H17" s="32"/>
    </row>
    <row r="18" spans="2:8" x14ac:dyDescent="0.4">
      <c r="B18" s="28" t="s">
        <v>21</v>
      </c>
      <c r="C18" s="25" t="s">
        <v>80</v>
      </c>
      <c r="D18" s="30" t="s">
        <v>14</v>
      </c>
      <c r="E18" s="30" t="s">
        <v>24</v>
      </c>
      <c r="F18" s="30" t="s">
        <v>90</v>
      </c>
      <c r="G18" s="30" t="s">
        <v>46</v>
      </c>
      <c r="H18" s="32"/>
    </row>
    <row r="19" spans="2:8" x14ac:dyDescent="0.4">
      <c r="B19" s="28" t="s">
        <v>175</v>
      </c>
      <c r="C19" s="25" t="s">
        <v>105</v>
      </c>
      <c r="D19" s="30" t="s">
        <v>14</v>
      </c>
      <c r="E19" s="30" t="s">
        <v>55</v>
      </c>
      <c r="F19" s="34" t="s">
        <v>56</v>
      </c>
      <c r="G19" s="30" t="s">
        <v>47</v>
      </c>
      <c r="H19" s="32"/>
    </row>
    <row r="20" spans="2:8" x14ac:dyDescent="0.4">
      <c r="B20" s="28" t="s">
        <v>93</v>
      </c>
      <c r="C20" s="25" t="s">
        <v>106</v>
      </c>
      <c r="D20" s="30" t="s">
        <v>23</v>
      </c>
      <c r="E20" s="30" t="s">
        <v>24</v>
      </c>
      <c r="F20" s="30" t="s">
        <v>25</v>
      </c>
      <c r="G20" s="30" t="s">
        <v>48</v>
      </c>
      <c r="H20" s="32"/>
    </row>
    <row r="21" spans="2:8" x14ac:dyDescent="0.4">
      <c r="B21" s="28" t="s">
        <v>94</v>
      </c>
      <c r="C21" s="25" t="s">
        <v>107</v>
      </c>
      <c r="D21" s="30" t="s">
        <v>23</v>
      </c>
      <c r="E21" s="30" t="s">
        <v>55</v>
      </c>
      <c r="F21" s="30" t="s">
        <v>56</v>
      </c>
      <c r="G21" s="30" t="s">
        <v>49</v>
      </c>
      <c r="H21" s="32"/>
    </row>
    <row r="22" spans="2:8" ht="27.6" x14ac:dyDescent="0.4">
      <c r="B22" s="28" t="s">
        <v>95</v>
      </c>
      <c r="C22" s="25" t="s">
        <v>108</v>
      </c>
      <c r="D22" s="30" t="s">
        <v>23</v>
      </c>
      <c r="E22" s="30" t="s">
        <v>55</v>
      </c>
      <c r="F22" s="30" t="s">
        <v>56</v>
      </c>
      <c r="G22" s="30" t="s">
        <v>49</v>
      </c>
      <c r="H22" s="32"/>
    </row>
    <row r="23" spans="2:8" x14ac:dyDescent="0.4">
      <c r="B23" s="28" t="s">
        <v>180</v>
      </c>
      <c r="C23" s="25" t="s">
        <v>181</v>
      </c>
      <c r="D23" s="30" t="s">
        <v>28</v>
      </c>
      <c r="E23" s="30" t="s">
        <v>55</v>
      </c>
      <c r="F23" s="30" t="s">
        <v>56</v>
      </c>
      <c r="G23" s="30" t="s">
        <v>182</v>
      </c>
      <c r="H23" s="32" t="s">
        <v>192</v>
      </c>
    </row>
    <row r="24" spans="2:8" x14ac:dyDescent="0.4">
      <c r="H24" s="16"/>
    </row>
    <row r="25" spans="2:8" x14ac:dyDescent="0.4">
      <c r="H25" s="16"/>
    </row>
    <row r="26" spans="2:8" x14ac:dyDescent="0.4">
      <c r="H26" s="16"/>
    </row>
    <row r="27" spans="2:8" x14ac:dyDescent="0.4">
      <c r="H27" s="16"/>
    </row>
    <row r="28" spans="2:8" x14ac:dyDescent="0.4">
      <c r="H28" s="16"/>
    </row>
    <row r="29" spans="2:8" x14ac:dyDescent="0.4">
      <c r="H29" s="16"/>
    </row>
  </sheetData>
  <phoneticPr fontId="1" type="noConversion"/>
  <dataValidations count="1">
    <dataValidation type="list" allowBlank="1" showInputMessage="1" showErrorMessage="1" sqref="H3:H30" xr:uid="{35A2E7C0-8546-4B25-8BD0-05EA97AC0835}">
      <formula1>PFNAB_List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78FEE8E-0FF3-47B8-B3B1-AE959344737D}">
          <x14:formula1>
            <xm:f>데이터!$C$1:$C$3</xm:f>
          </x14:formula1>
          <xm:sqref>D3:D23</xm:sqref>
        </x14:dataValidation>
        <x14:dataValidation type="list" allowBlank="1" showInputMessage="1" showErrorMessage="1" xr:uid="{454F4399-E377-4F1A-AC53-A28B289056D1}">
          <x14:formula1>
            <xm:f>데이터!$E$1:$E$2</xm:f>
          </x14:formula1>
          <xm:sqref>E1:E1048576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642C0-6796-4A7F-AA54-32A60A7BF234}">
  <sheetPr codeName="Sheet4"/>
  <dimension ref="B1:F10"/>
  <sheetViews>
    <sheetView tabSelected="1" workbookViewId="0">
      <selection activeCell="F6" sqref="F6"/>
    </sheetView>
  </sheetViews>
  <sheetFormatPr defaultRowHeight="17.399999999999999" x14ac:dyDescent="0.4"/>
  <cols>
    <col min="1" max="1" width="2.59765625" customWidth="1"/>
    <col min="2" max="2" width="11.19921875" style="2" bestFit="1" customWidth="1"/>
    <col min="3" max="3" width="28.69921875" bestFit="1" customWidth="1"/>
    <col min="4" max="4" width="48.796875" style="11" customWidth="1"/>
    <col min="5" max="5" width="32.59765625" style="11" bestFit="1" customWidth="1"/>
    <col min="6" max="6" width="28.09765625" customWidth="1"/>
  </cols>
  <sheetData>
    <row r="1" spans="2:6" ht="12.45" customHeight="1" x14ac:dyDescent="0.4"/>
    <row r="2" spans="2:6" x14ac:dyDescent="0.4">
      <c r="B2" s="4" t="s">
        <v>2</v>
      </c>
      <c r="C2" s="4" t="s">
        <v>1</v>
      </c>
      <c r="D2" s="12" t="s">
        <v>3</v>
      </c>
      <c r="E2" s="12" t="s">
        <v>4</v>
      </c>
      <c r="F2" s="4" t="s">
        <v>5</v>
      </c>
    </row>
    <row r="3" spans="2:6" ht="34.799999999999997" x14ac:dyDescent="0.4">
      <c r="B3" s="37" t="s">
        <v>109</v>
      </c>
      <c r="C3" s="3" t="s">
        <v>110</v>
      </c>
      <c r="D3" s="5" t="s">
        <v>111</v>
      </c>
      <c r="E3" s="7" t="s">
        <v>112</v>
      </c>
      <c r="F3" s="3" t="s">
        <v>109</v>
      </c>
    </row>
    <row r="4" spans="2:6" ht="34.799999999999997" x14ac:dyDescent="0.4">
      <c r="B4" s="37" t="s">
        <v>115</v>
      </c>
      <c r="C4" s="3" t="s">
        <v>116</v>
      </c>
      <c r="D4" s="5" t="s">
        <v>117</v>
      </c>
      <c r="E4" s="5" t="s">
        <v>131</v>
      </c>
      <c r="F4" s="3" t="s">
        <v>115</v>
      </c>
    </row>
    <row r="5" spans="2:6" ht="34.799999999999997" x14ac:dyDescent="0.4">
      <c r="B5" s="37" t="s">
        <v>121</v>
      </c>
      <c r="C5" s="3" t="s">
        <v>122</v>
      </c>
      <c r="D5" s="5" t="s">
        <v>123</v>
      </c>
      <c r="E5" s="5" t="s">
        <v>132</v>
      </c>
      <c r="F5" s="3" t="s">
        <v>121</v>
      </c>
    </row>
    <row r="6" spans="2:6" ht="34.799999999999997" x14ac:dyDescent="0.4">
      <c r="B6" s="37" t="s">
        <v>128</v>
      </c>
      <c r="C6" s="3" t="s">
        <v>129</v>
      </c>
      <c r="D6" s="5" t="s">
        <v>130</v>
      </c>
      <c r="E6" s="5" t="s">
        <v>143</v>
      </c>
      <c r="F6" s="3" t="s">
        <v>127</v>
      </c>
    </row>
    <row r="7" spans="2:6" x14ac:dyDescent="0.4">
      <c r="B7" s="37" t="s">
        <v>136</v>
      </c>
      <c r="C7" s="3" t="s">
        <v>140</v>
      </c>
      <c r="D7" s="5" t="s">
        <v>141</v>
      </c>
      <c r="E7" s="5" t="s">
        <v>142</v>
      </c>
      <c r="F7" s="3" t="s">
        <v>136</v>
      </c>
    </row>
    <row r="8" spans="2:6" ht="34.799999999999997" x14ac:dyDescent="0.4">
      <c r="B8" s="37" t="s">
        <v>137</v>
      </c>
      <c r="C8" s="3" t="s">
        <v>144</v>
      </c>
      <c r="D8" s="5" t="s">
        <v>145</v>
      </c>
      <c r="E8" s="5" t="s">
        <v>146</v>
      </c>
      <c r="F8" s="3" t="s">
        <v>137</v>
      </c>
    </row>
    <row r="9" spans="2:6" x14ac:dyDescent="0.4">
      <c r="B9" s="37" t="s">
        <v>138</v>
      </c>
      <c r="C9" s="3" t="s">
        <v>147</v>
      </c>
      <c r="D9" s="5" t="s">
        <v>148</v>
      </c>
      <c r="E9" s="5" t="s">
        <v>149</v>
      </c>
      <c r="F9" s="5" t="s">
        <v>188</v>
      </c>
    </row>
    <row r="10" spans="2:6" x14ac:dyDescent="0.4">
      <c r="B10" s="37" t="s">
        <v>139</v>
      </c>
      <c r="C10" s="3" t="s">
        <v>150</v>
      </c>
      <c r="D10" s="5" t="s">
        <v>151</v>
      </c>
      <c r="E10" s="5" t="s">
        <v>152</v>
      </c>
      <c r="F10" s="3" t="s">
        <v>189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28D0B-8FAE-4D21-8CB2-3F6E80349F65}">
  <sheetPr codeName="Sheet5"/>
  <dimension ref="B1:H27"/>
  <sheetViews>
    <sheetView workbookViewId="0">
      <selection activeCell="C14" sqref="C14"/>
    </sheetView>
  </sheetViews>
  <sheetFormatPr defaultRowHeight="17.399999999999999" x14ac:dyDescent="0.4"/>
  <cols>
    <col min="1" max="1" width="2.59765625" customWidth="1"/>
    <col min="2" max="2" width="11.19921875" style="2" bestFit="1" customWidth="1"/>
    <col min="3" max="3" width="23.5" style="11" bestFit="1" customWidth="1"/>
    <col min="4" max="4" width="9.19921875" style="1" bestFit="1" customWidth="1"/>
    <col min="5" max="5" width="11.19921875" bestFit="1" customWidth="1"/>
    <col min="6" max="6" width="28.09765625" customWidth="1"/>
    <col min="7" max="8" width="11.296875" style="1" bestFit="1" customWidth="1"/>
    <col min="9" max="9" width="8.796875" customWidth="1"/>
  </cols>
  <sheetData>
    <row r="1" spans="2:8" ht="12.45" customHeight="1" x14ac:dyDescent="0.4"/>
    <row r="2" spans="2:8" x14ac:dyDescent="0.4">
      <c r="B2" s="4" t="s">
        <v>0</v>
      </c>
      <c r="C2" s="12" t="s">
        <v>198</v>
      </c>
      <c r="D2" s="4" t="s">
        <v>199</v>
      </c>
      <c r="E2" s="4" t="s">
        <v>200</v>
      </c>
      <c r="F2" s="4" t="s">
        <v>213</v>
      </c>
      <c r="G2" s="4" t="s">
        <v>9</v>
      </c>
      <c r="H2" s="4" t="s">
        <v>191</v>
      </c>
    </row>
    <row r="3" spans="2:8" x14ac:dyDescent="0.4">
      <c r="B3" s="36" t="s">
        <v>114</v>
      </c>
      <c r="C3" s="6" t="s">
        <v>113</v>
      </c>
      <c r="D3" s="8" t="s">
        <v>158</v>
      </c>
      <c r="E3" s="8" t="s">
        <v>24</v>
      </c>
      <c r="F3" s="9" t="s">
        <v>218</v>
      </c>
      <c r="G3" s="8" t="s">
        <v>109</v>
      </c>
      <c r="H3" s="17" t="s">
        <v>192</v>
      </c>
    </row>
    <row r="4" spans="2:8" x14ac:dyDescent="0.4">
      <c r="B4" s="36" t="s">
        <v>118</v>
      </c>
      <c r="C4" s="6" t="s">
        <v>119</v>
      </c>
      <c r="D4" s="8" t="s">
        <v>14</v>
      </c>
      <c r="E4" s="8" t="s">
        <v>24</v>
      </c>
      <c r="F4" s="8" t="s">
        <v>120</v>
      </c>
      <c r="G4" s="8" t="s">
        <v>115</v>
      </c>
      <c r="H4" s="17" t="s">
        <v>194</v>
      </c>
    </row>
    <row r="5" spans="2:8" x14ac:dyDescent="0.4">
      <c r="B5" s="36" t="s">
        <v>124</v>
      </c>
      <c r="C5" s="6" t="s">
        <v>125</v>
      </c>
      <c r="D5" s="8" t="s">
        <v>14</v>
      </c>
      <c r="E5" s="8" t="s">
        <v>24</v>
      </c>
      <c r="F5" s="8" t="s">
        <v>126</v>
      </c>
      <c r="G5" s="8" t="s">
        <v>121</v>
      </c>
      <c r="H5" s="17"/>
    </row>
    <row r="6" spans="2:8" x14ac:dyDescent="0.4">
      <c r="B6" s="36" t="s">
        <v>133</v>
      </c>
      <c r="C6" s="6" t="s">
        <v>134</v>
      </c>
      <c r="D6" s="8" t="s">
        <v>14</v>
      </c>
      <c r="E6" s="8" t="s">
        <v>24</v>
      </c>
      <c r="F6" s="10" t="s">
        <v>135</v>
      </c>
      <c r="G6" s="8" t="s">
        <v>127</v>
      </c>
      <c r="H6" s="17" t="s">
        <v>192</v>
      </c>
    </row>
    <row r="7" spans="2:8" ht="34.799999999999997" x14ac:dyDescent="0.4">
      <c r="B7" s="36" t="s">
        <v>153</v>
      </c>
      <c r="C7" s="6" t="s">
        <v>156</v>
      </c>
      <c r="D7" s="8" t="s">
        <v>23</v>
      </c>
      <c r="E7" s="8" t="s">
        <v>55</v>
      </c>
      <c r="F7" s="10" t="s">
        <v>56</v>
      </c>
      <c r="G7" s="8" t="s">
        <v>136</v>
      </c>
      <c r="H7" s="17"/>
    </row>
    <row r="8" spans="2:8" x14ac:dyDescent="0.4">
      <c r="B8" s="36" t="s">
        <v>154</v>
      </c>
      <c r="C8" s="6" t="s">
        <v>157</v>
      </c>
      <c r="D8" s="8" t="s">
        <v>158</v>
      </c>
      <c r="E8" s="8" t="s">
        <v>55</v>
      </c>
      <c r="F8" s="8" t="s">
        <v>56</v>
      </c>
      <c r="G8" s="8" t="s">
        <v>137</v>
      </c>
      <c r="H8" s="17"/>
    </row>
    <row r="9" spans="2:8" x14ac:dyDescent="0.4">
      <c r="B9" s="36" t="s">
        <v>187</v>
      </c>
      <c r="C9" s="6" t="s">
        <v>159</v>
      </c>
      <c r="D9" s="8" t="s">
        <v>23</v>
      </c>
      <c r="E9" s="8" t="s">
        <v>55</v>
      </c>
      <c r="F9" s="8" t="s">
        <v>56</v>
      </c>
      <c r="G9" s="8" t="s">
        <v>138</v>
      </c>
      <c r="H9" s="17"/>
    </row>
    <row r="10" spans="2:8" x14ac:dyDescent="0.4">
      <c r="B10" s="36" t="s">
        <v>155</v>
      </c>
      <c r="C10" s="6" t="s">
        <v>160</v>
      </c>
      <c r="D10" s="8" t="s">
        <v>23</v>
      </c>
      <c r="E10" s="8" t="s">
        <v>55</v>
      </c>
      <c r="F10" s="8" t="s">
        <v>56</v>
      </c>
      <c r="G10" s="8" t="s">
        <v>138</v>
      </c>
      <c r="H10" s="17"/>
    </row>
    <row r="11" spans="2:8" x14ac:dyDescent="0.4">
      <c r="B11" s="36" t="s">
        <v>189</v>
      </c>
      <c r="C11" s="6" t="s">
        <v>161</v>
      </c>
      <c r="D11" s="8" t="s">
        <v>23</v>
      </c>
      <c r="E11" s="8" t="s">
        <v>24</v>
      </c>
      <c r="F11" s="8" t="s">
        <v>190</v>
      </c>
      <c r="G11" s="8" t="s">
        <v>162</v>
      </c>
      <c r="H11" s="17"/>
    </row>
    <row r="12" spans="2:8" x14ac:dyDescent="0.4">
      <c r="H12" s="16"/>
    </row>
    <row r="13" spans="2:8" x14ac:dyDescent="0.4">
      <c r="H13" s="16"/>
    </row>
    <row r="14" spans="2:8" x14ac:dyDescent="0.4">
      <c r="H14" s="16"/>
    </row>
    <row r="15" spans="2:8" x14ac:dyDescent="0.4">
      <c r="H15" s="16"/>
    </row>
    <row r="16" spans="2:8" x14ac:dyDescent="0.4">
      <c r="H16" s="16"/>
    </row>
    <row r="17" spans="8:8" x14ac:dyDescent="0.4">
      <c r="H17" s="16"/>
    </row>
    <row r="18" spans="8:8" x14ac:dyDescent="0.4">
      <c r="H18" s="16"/>
    </row>
    <row r="19" spans="8:8" x14ac:dyDescent="0.4">
      <c r="H19" s="16"/>
    </row>
    <row r="20" spans="8:8" x14ac:dyDescent="0.4">
      <c r="H20" s="16"/>
    </row>
    <row r="21" spans="8:8" x14ac:dyDescent="0.4">
      <c r="H21" s="16"/>
    </row>
    <row r="22" spans="8:8" x14ac:dyDescent="0.4">
      <c r="H22" s="16"/>
    </row>
    <row r="23" spans="8:8" x14ac:dyDescent="0.4">
      <c r="H23" s="16"/>
    </row>
    <row r="24" spans="8:8" x14ac:dyDescent="0.4">
      <c r="H24" s="16"/>
    </row>
    <row r="25" spans="8:8" x14ac:dyDescent="0.4">
      <c r="H25" s="16"/>
    </row>
    <row r="26" spans="8:8" x14ac:dyDescent="0.4">
      <c r="H26" s="16"/>
    </row>
    <row r="27" spans="8:8" x14ac:dyDescent="0.4">
      <c r="H27" s="16"/>
    </row>
  </sheetData>
  <phoneticPr fontId="1" type="noConversion"/>
  <dataValidations count="1">
    <dataValidation type="list" allowBlank="1" showInputMessage="1" showErrorMessage="1" sqref="H3:H30" xr:uid="{F7C3D9C3-FBBA-4D57-9940-AD583BACE6ED}">
      <formula1>PFNAB_List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28B6C35-7360-4792-8BB1-3914950A66BE}">
          <x14:formula1>
            <xm:f>데이터!$C$1:$C$3</xm:f>
          </x14:formula1>
          <xm:sqref>D3:D30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D888A-C9C1-47C2-A885-0D1F477E14EA}">
  <sheetPr codeName="Sheet6"/>
  <dimension ref="A1:E4"/>
  <sheetViews>
    <sheetView workbookViewId="0">
      <selection activeCell="K39" sqref="K39"/>
    </sheetView>
  </sheetViews>
  <sheetFormatPr defaultRowHeight="17.399999999999999" x14ac:dyDescent="0.4"/>
  <cols>
    <col min="1" max="1" width="8.796875" style="1"/>
  </cols>
  <sheetData>
    <row r="1" spans="1:5" x14ac:dyDescent="0.4">
      <c r="A1" s="13" t="s">
        <v>193</v>
      </c>
      <c r="C1" t="s">
        <v>14</v>
      </c>
      <c r="E1" t="s">
        <v>24</v>
      </c>
    </row>
    <row r="2" spans="1:5" x14ac:dyDescent="0.4">
      <c r="A2" s="14" t="s">
        <v>195</v>
      </c>
      <c r="C2" t="s">
        <v>23</v>
      </c>
      <c r="E2" t="s">
        <v>55</v>
      </c>
    </row>
    <row r="3" spans="1:5" x14ac:dyDescent="0.4">
      <c r="A3" s="15" t="s">
        <v>196</v>
      </c>
      <c r="C3" t="s">
        <v>28</v>
      </c>
    </row>
    <row r="4" spans="1:5" x14ac:dyDescent="0.4">
      <c r="A4" s="16" t="s">
        <v>197</v>
      </c>
    </row>
  </sheetData>
  <phoneticPr fontId="1" type="noConversion"/>
  <conditionalFormatting sqref="A1">
    <cfRule type="cellIs" dxfId="1" priority="1" operator="equal">
      <formula>$A$1</formula>
    </cfRule>
    <cfRule type="cellIs" dxfId="0" priority="2" operator="between">
      <formula>$A$1</formula>
      <formula>$A$1</formula>
    </cfRule>
  </conditionalFormatting>
  <dataValidations count="2">
    <dataValidation type="list" allowBlank="1" showInputMessage="1" showErrorMessage="1" sqref="A1:A4" xr:uid="{AE3A4434-F0EE-41D0-AAC7-AC68AB1317F8}">
      <formula1>$A$1:$A$4</formula1>
    </dataValidation>
    <dataValidation type="list" allowBlank="1" showInputMessage="1" showErrorMessage="1" sqref="C1" xr:uid="{EDB50211-FD68-4758-BD44-308E95CF361B}">
      <formula1>$C$1:$C$3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 지정된 범위</vt:lpstr>
      </vt:variant>
      <vt:variant>
        <vt:i4>1</vt:i4>
      </vt:variant>
    </vt:vector>
  </HeadingPairs>
  <TitlesOfParts>
    <vt:vector size="7" baseType="lpstr">
      <vt:lpstr>수행율</vt:lpstr>
      <vt:lpstr>마켓컬리_테스트시나리오</vt:lpstr>
      <vt:lpstr>마켓컬리_TC</vt:lpstr>
      <vt:lpstr>API_테스트시나리오</vt:lpstr>
      <vt:lpstr>API_TC</vt:lpstr>
      <vt:lpstr>데이터</vt:lpstr>
      <vt:lpstr>PFNAB_List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재민 임</dc:creator>
  <cp:lastModifiedBy>재민 임</cp:lastModifiedBy>
  <dcterms:created xsi:type="dcterms:W3CDTF">2025-05-03T02:57:15Z</dcterms:created>
  <dcterms:modified xsi:type="dcterms:W3CDTF">2025-11-16T08:12:21Z</dcterms:modified>
</cp:coreProperties>
</file>